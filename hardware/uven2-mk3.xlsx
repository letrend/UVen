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trend\Documents\UVen\hardware\"/>
    </mc:Choice>
  </mc:AlternateContent>
  <xr:revisionPtr revIDLastSave="0" documentId="13_ncr:1_{20DFB1F6-C74D-4C04-981C-F5F1C0423991}" xr6:coauthVersionLast="47" xr6:coauthVersionMax="47" xr10:uidLastSave="{00000000-0000-0000-0000-000000000000}"/>
  <bookViews>
    <workbookView xWindow="-120" yWindow="-120" windowWidth="29040" windowHeight="1824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4" i="1" l="1"/>
  <c r="C79" i="1"/>
  <c r="C38" i="1"/>
  <c r="C25" i="1"/>
  <c r="C16" i="1"/>
  <c r="C61" i="1"/>
  <c r="C53" i="1"/>
  <c r="C46" i="1"/>
</calcChain>
</file>

<file path=xl/sharedStrings.xml><?xml version="1.0" encoding="utf-8"?>
<sst xmlns="http://schemas.openxmlformats.org/spreadsheetml/2006/main" count="150" uniqueCount="145">
  <si>
    <t xml:space="preserve">part </t>
  </si>
  <si>
    <t>amount</t>
  </si>
  <si>
    <t>price</t>
  </si>
  <si>
    <t>driver_right</t>
  </si>
  <si>
    <t>driver_left</t>
  </si>
  <si>
    <t>power_supply_holder_0</t>
  </si>
  <si>
    <t>top_cover_right</t>
  </si>
  <si>
    <t>top_cover_left</t>
  </si>
  <si>
    <t>spacer_top_right</t>
  </si>
  <si>
    <t>spacer_right_lower</t>
  </si>
  <si>
    <t>lid</t>
  </si>
  <si>
    <t>base</t>
  </si>
  <si>
    <t>front_lower</t>
  </si>
  <si>
    <t>back_lower</t>
  </si>
  <si>
    <t>left_lower</t>
  </si>
  <si>
    <t>right_lower</t>
  </si>
  <si>
    <t>led_base</t>
  </si>
  <si>
    <t>chamber_back</t>
  </si>
  <si>
    <t>chamber_left_0</t>
  </si>
  <si>
    <t>chamber_right_0</t>
  </si>
  <si>
    <t>chamber_left_1</t>
  </si>
  <si>
    <t>chamber_right_1</t>
  </si>
  <si>
    <t>endstop</t>
  </si>
  <si>
    <t>exhaust_shield</t>
  </si>
  <si>
    <t>handle</t>
  </si>
  <si>
    <t>hinge_right_lock</t>
  </si>
  <si>
    <t>hinge_left_lock</t>
  </si>
  <si>
    <t>hinge_left</t>
  </si>
  <si>
    <t>interlock_case_b</t>
  </si>
  <si>
    <t>hinge_right</t>
  </si>
  <si>
    <t>fan_protection</t>
  </si>
  <si>
    <t>chamber_plug</t>
  </si>
  <si>
    <t>E200-R22-C10R</t>
  </si>
  <si>
    <t>https://www.digikey.de/en/products/detail/e-switch/E200-R22-C10R/24614866</t>
  </si>
  <si>
    <t>GEN4-ULCD-24DT</t>
  </si>
  <si>
    <t>https://www.digikey.de/en/products/detail/4d-systems-pty-ltd/GEN4-ULCD-24DT/5823656</t>
  </si>
  <si>
    <t>HA60151V4-1000U-A99</t>
  </si>
  <si>
    <t>Power Plug</t>
  </si>
  <si>
    <t>https://www.digikey.de/en/products/detail/schurter-inc/6145-2173-000/641837?s=N4IgTCBcDaIGwEYAsBWAdGBB2AzGgDISALoC%2BQA</t>
  </si>
  <si>
    <t>AC/DC CONVERTER 12V 500W</t>
  </si>
  <si>
    <t>https://www.digikey.de/en/products/detail/mean-well-usa-inc/rsp-500-12/7706337</t>
  </si>
  <si>
    <t>Aluminium Cooling aggregates LA</t>
  </si>
  <si>
    <t>https://www.digikey.de/en/products/detail/fischer-elektronik/la-v-30-150-12/25992980</t>
  </si>
  <si>
    <t>uven2-mk3-main-board</t>
  </si>
  <si>
    <t>uven2-mk3-cc-driver-25x</t>
  </si>
  <si>
    <t>uven2-mk3-lid-switch-A</t>
  </si>
  <si>
    <t>uven2-mk3-lid-switch-B</t>
  </si>
  <si>
    <t>uven2-mk3-led-array-100x</t>
  </si>
  <si>
    <t>SBT-10X-UV-A120-AH365-22</t>
  </si>
  <si>
    <t>https://eu.mouser.com/ProductDetail/Luminus-Devices/SBT-10X-UV-A120-AH365-22?qs=olJun0bQHM%252B9b8T%252BKify%252Bw%3D%3D&amp;srsltid=AfmBOoq0gDPa9KVt6GO4x6EpNYbofD1oggbO1lTKVAkKUzZeowZmQhlR</t>
  </si>
  <si>
    <t>quarz glas plate 150zx150x2mm</t>
  </si>
  <si>
    <t>https://www.g-v-b-shop.de/quarzglas/platten/mechanisch-poliert/natuerliches-quarzglas/1446/150-150-2-mm-en08-quarzglasplatten?c=211</t>
  </si>
  <si>
    <t>link</t>
  </si>
  <si>
    <t>M4 6mm flathead screws</t>
  </si>
  <si>
    <t>https://www.wegertseder.com/DIN-7991-Senkschrauben-mit-Innensechskant-ROSTFREI-A2</t>
  </si>
  <si>
    <t>M3 6mm flathead screws</t>
  </si>
  <si>
    <t>M2.5 12mm flathead screws</t>
  </si>
  <si>
    <t>M4 12mm flathead screws</t>
  </si>
  <si>
    <t>M2.5 25mm flathead screws</t>
  </si>
  <si>
    <t>https://www.amazon.de/sourcing-map-Kreuzschlitz-Senkkopfschrauben-silberfarben-Stk/dp/B01D4R5HWQ</t>
  </si>
  <si>
    <t>M2.5 8mm flathead screws</t>
  </si>
  <si>
    <t>https://www.amazon.de/Qrity-Senkkopfschrauben-Maschinenschrauben-Kohlenstoffstahl-Gewindeschrauben/dp/B0D6R6WFVK/ref=sr_1_4?__mk_de_DE=%C3%85M%C3%85%C5%BD%C3%95%C3%91&amp;crid=1B3DPDLFGVFZ1&amp;dib=eyJ2IjoiMSJ9.ybxNibQJJx28xBsActrkV57t4GTjuvogtwAb5SvJ49RFVii6ICRn63qzUZlJ_qCz7y3XL9plVm_3C_Mf2BxNu-RELxVqMK6kPNbnTy4086k4AVOsB1UROnbPxduJsOODZmtSlzjXENUM8pQf8_vNexf1f0bjqeHZBvqdz0WQQ2JDBiJLLRyRJEwhOk-FdImNRooc7KmV--oGa8nSVZXLdH6qVPHF5TxBTK6aeGWv-gY.iMIR38txwUjOicqpqayXrJtERTg1dBsN0nKzFbz7Nz0&amp;dib_tag=se&amp;keywords=m2.5%2B8mm%2Bsenkkopfschrauben&amp;qid=1756125362&amp;s=diy&amp;sprefix=m2.5%2B8mm%2Bsenkkopfschraube%2Cdiy%2C75&amp;sr=1-4&amp;th=1</t>
  </si>
  <si>
    <t>Miniatur Kugellager 684 2RS 4x9x4 mm</t>
  </si>
  <si>
    <t>https://www.kugellager-express.de/miniatur-kugellager-684-2rs-4x9x4-mm</t>
  </si>
  <si>
    <t>M3 12mm zylinderkopf screws</t>
  </si>
  <si>
    <t>https://www.wegertseder.com/DIN-912-Zylinderschrauben-mit-Innensechskant-ROSTFREI-A2-Diameter-3</t>
  </si>
  <si>
    <t>https://www.wegertseder.com/DIN-912-Zylinderschrauben-mit-Innensechskant-ROSTFREI-A2-Diameter-4</t>
  </si>
  <si>
    <t>M4 20mm zylinderkopf screws</t>
  </si>
  <si>
    <t>M2 6mm zylinderkopf screws</t>
  </si>
  <si>
    <t>https://www.wegertseder.com/DIN-912-Zylinderschrauben-mit-Innensechskant-ROSTFREI-A2-Diameter-2</t>
  </si>
  <si>
    <t>M2 10mm zylinderkopf screws</t>
  </si>
  <si>
    <t>M3 8mm zylinderkopf screws</t>
  </si>
  <si>
    <t>M2 12mm zylinderkopf screws</t>
  </si>
  <si>
    <t>M4 self locking nuts</t>
  </si>
  <si>
    <t>https://www.wegertseder.com/DIN-982-Sechskantmuttern-Polyamidklemmteil-hohe-Form-STAHL-8-verzinkt</t>
  </si>
  <si>
    <t>https://www.harfington.com/en-de/products/p-1241185?srsltid=AfmBOooiIvPr_wxqCQXEqBBWR8hmMylZjm0qf0soYEuMQytOKKdELoET</t>
  </si>
  <si>
    <t>TSM-150-01-S-DH-ND</t>
  </si>
  <si>
    <t>https://www.digikey.de/en/products/detail/samtec-inc/TSM-150-01-S-DH/7643605</t>
  </si>
  <si>
    <t>https://www.digikey.de/en/products/detail/samtec-inc/TSM-104-01-L-DH/6679014</t>
  </si>
  <si>
    <t>TSM-104-01-L-DH</t>
  </si>
  <si>
    <t>https://www.digikey.de/en/products/detail/kemet/C1206C106K4RACTU/789657?srsltid=AfmBOoqNrabwJzwfy0lRKgwfK1Al_QAyagT_pr5v6fOkCCGiiqApUZPm</t>
  </si>
  <si>
    <t>C1206C106K4RACTU</t>
  </si>
  <si>
    <t>https://www.digikey.de/en/products/detail/kemet/C0805C105K4RACTU/416047?srsltid=AfmBOopr3-Fnx4wKnEy7FCtcohdJUI3gGYauhfDK5_2eKkVxtbI4g6Ws</t>
  </si>
  <si>
    <t>C0805C105K4RACTU</t>
  </si>
  <si>
    <t>Thermal paste TC3-10G</t>
  </si>
  <si>
    <t>https://www.mouser.de/ProductDetail/Chip-Quik/TC3-10G?qs=Wj%2FVkw3K%252BMAjgB2RRq799w%3D%3D</t>
  </si>
  <si>
    <t>cables and stuff</t>
  </si>
  <si>
    <t>https://github.com/letrend/UVen/blob/uven2_mk3/hardware/uven2-mk3-lid-switch-A.eprj</t>
  </si>
  <si>
    <t>https://github.com/letrend/UVen/blob/uven2_mk3/hardware/uven2-mk3-lid-switch-B.eprj</t>
  </si>
  <si>
    <t>https://github.com/letrend/UVen/tree/uven2_mk3/hardware/uven2-mk3-led-array-100x</t>
  </si>
  <si>
    <t>https://github.com/letrend/UVen/blob/uven2_mk3/hardware/uven2-mk3-main-board.eprj</t>
  </si>
  <si>
    <t>https://github.com/letrend/UVen/blob/uven2_mk3/hardware/uven2-mk3-cc-driver-25x.eprj</t>
  </si>
  <si>
    <t>https://cdn.hackaday.io/files/2031988693623232/exhaust_shield.step</t>
  </si>
  <si>
    <t>display_mount_bottom</t>
  </si>
  <si>
    <t>https://cdn.hackaday.io/files/2031988693623232/display_mount_bottom.step</t>
  </si>
  <si>
    <t>https://cdn.hackaday.io/files/2031988693623232/chamber_left_1.step</t>
  </si>
  <si>
    <t>https://cdn.hackaday.io/files/2031988693623232/left_lower.step</t>
  </si>
  <si>
    <t>https://cdn.hackaday.io/files/2031988693623232/base.step</t>
  </si>
  <si>
    <t>https://cdn.hackaday.io/files/2031988693623232/chamber_right_1.step</t>
  </si>
  <si>
    <t>https://cdn.hackaday.io/files/2031988693623232/chamber_front_left.step</t>
  </si>
  <si>
    <t>chamber_front_left</t>
  </si>
  <si>
    <t>https://cdn.hackaday.io/files/2031988693623232/endstop.step</t>
  </si>
  <si>
    <t>https://cdn.hackaday.io/files/2031988693623232/spacer_top_right.step</t>
  </si>
  <si>
    <t>interlock_case_a1</t>
  </si>
  <si>
    <t>https://cdn.hackaday.io/files/2031988693623232/interlock_case_a.step</t>
  </si>
  <si>
    <t>https://cdn.hackaday.io/files/2031988693623232/chamber_back.step</t>
  </si>
  <si>
    <t>https://cdn.hackaday.io/files/2031988693623232/right_lower.step</t>
  </si>
  <si>
    <t>https://cdn.hackaday.io/files/2031988693623232/chamber_right_0.step</t>
  </si>
  <si>
    <t>chamber_hinge_lock_front_right</t>
  </si>
  <si>
    <t>https://cdn.hackaday.io/files/2031988693623232/chamber_hinge_lock_front_right.step</t>
  </si>
  <si>
    <t>https://cdn.hackaday.io/files/2031988693623232/power_supply_holder_0.step</t>
  </si>
  <si>
    <t>https://cdn.hackaday.io/files/2031988693623232/lid.step</t>
  </si>
  <si>
    <t>https://cdn.hackaday.io/files/2031988693623232/top_cover_right.step</t>
  </si>
  <si>
    <t>https://cdn.hackaday.io/files/2031988693623232/hinge_left_lock.step</t>
  </si>
  <si>
    <t>chamber_hinge_front</t>
  </si>
  <si>
    <t>https://cdn.hackaday.io/files/2031988693623232/chamber_hinge_front.step</t>
  </si>
  <si>
    <t>https://cdn.hackaday.io/files/2031988693623232/hinge_right.step</t>
  </si>
  <si>
    <t>https://cdn.hackaday.io/files/2031988693623232/driver_right.step</t>
  </si>
  <si>
    <t>https://cdn.hackaday.io/files/2031988693623232/top_cover_left.step</t>
  </si>
  <si>
    <t>https://cdn.hackaday.io/files/2031988693623232/chamber_left_0.step</t>
  </si>
  <si>
    <t>https://cdn.hackaday.io/files/2031988693623232/handle.step</t>
  </si>
  <si>
    <t>https://cdn.hackaday.io/files/2031988693623232/driver_left.step</t>
  </si>
  <si>
    <t>chamber_front_right</t>
  </si>
  <si>
    <t>https://cdn.hackaday.io/files/2031988693623232/chamber_front_right.step</t>
  </si>
  <si>
    <t>https://cdn.hackaday.io/files/2031988693623232/spacer_right_lower.step</t>
  </si>
  <si>
    <t>https://cdn.hackaday.io/files/2031988693623232/fan_protection.step</t>
  </si>
  <si>
    <t>https://cdn.hackaday.io/files/2031988693623232/led_base.step</t>
  </si>
  <si>
    <t>https://cdn.hackaday.io/files/2031988693623232/front_lower.step</t>
  </si>
  <si>
    <t>chamber_hinge_lock_front_left</t>
  </si>
  <si>
    <t>https://cdn.hackaday.io/files/2031988693623232/chamber_hinge_lock_front_left.step</t>
  </si>
  <si>
    <t>spacer_top_left</t>
  </si>
  <si>
    <t>https://cdn.hackaday.io/files/2031988693623232/spacer_top_left.step</t>
  </si>
  <si>
    <t>https://cdn.hackaday.io/files/2031988693623232/back_lower.step</t>
  </si>
  <si>
    <t>display_mount_top</t>
  </si>
  <si>
    <t>https://cdn.hackaday.io/files/2031988693623232/display_mount_top.step</t>
  </si>
  <si>
    <t>https://cdn.hackaday.io/files/2031988693623232/hinge_right_lock.step</t>
  </si>
  <si>
    <t>spacer_left_lower</t>
  </si>
  <si>
    <t>https://cdn.hackaday.io/files/2031988693623232/spacer_left_lower.step</t>
  </si>
  <si>
    <t>https://cdn.hackaday.io/files/2031988693623232/chamber_plug.step</t>
  </si>
  <si>
    <t>https://cdn.hackaday.io/files/2031988693623232/interlock_case_b.step</t>
  </si>
  <si>
    <t>https://cdn.hackaday.io/files/2031988693623232/hinge_left.step</t>
  </si>
  <si>
    <t>shipping costs+customs</t>
  </si>
  <si>
    <t>https://de.farnell.com/en-DE/fischer-elektronik/la-v-30-150-12/k-hlk-rper-l-fter-70-m3-h-12-vdc/dp/4708578?srsltid=AfmBOopHEAoj-rLFzaWQwLiyDVg3We92MJk7J_Sfz4go-pZkLUPG5o0y</t>
  </si>
  <si>
    <t>alternative</t>
  </si>
  <si>
    <t>https://www.digikey.de/en/products/detail/sunon-fans/MF60151VX-1000U-A99/6198740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</si>
</sst>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 €&quot;_-;\-* #,##0.00&quot; €&quot;_-;_-* \-??&quot; €&quot;_-;_-@_-"/>
    <numFmt numFmtId="165" formatCode="_-[$€-2]\ * #,##0.00_-;\-[$€-2]\ * #,##0.00_-;_-[$€-2]\ * \-??_-;_-@_-"/>
  </numFmts>
  <fonts count="4" x14ac:knownFonts="1">
    <font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u/>
      <sz val="11"/>
      <color theme="10"/>
      <name val="Aptos Narrow"/>
      <family val="2"/>
      <charset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Border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64" fontId="1" fillId="0" borderId="0" xfId="1" applyBorder="1" applyProtection="1"/>
    <xf numFmtId="0" fontId="0" fillId="0" borderId="0" xfId="0" applyAlignment="1">
      <alignment wrapText="1"/>
    </xf>
    <xf numFmtId="165" fontId="0" fillId="0" borderId="0" xfId="0" applyNumberFormat="1"/>
    <xf numFmtId="0" fontId="2" fillId="0" borderId="0" xfId="2"/>
    <xf numFmtId="0" fontId="3" fillId="0" borderId="0" xfId="0" applyFont="1"/>
    <xf numFmtId="164" fontId="1" fillId="0" borderId="0" xfId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de/en/products/detail/fischer-elektronik/la-v-30-150-12/25992980" TargetMode="External"/><Relationship Id="rId2" Type="http://schemas.openxmlformats.org/officeDocument/2006/relationships/hyperlink" Target="https://eu.mouser.com/ProductDetail/Luminus-Devices/SBT-10X-UV-A120-AH365-22?qs=olJun0bQHM%252B9b8T%252BKify%252Bw%3D%3D&amp;srsltid=AfmBOoq0gDPa9KVt6GO4x6EpNYbofD1oggbO1lTKVAkKUzZeowZmQhlR" TargetMode="External"/><Relationship Id="rId1" Type="http://schemas.openxmlformats.org/officeDocument/2006/relationships/hyperlink" Target="https://www.harfington.com/en-de/products/p-1241185?srsltid=AfmBOooiIvPr_wxqCQXEqBBWR8hmMylZjm0qf0soYEuMQytOKKdELoET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topLeftCell="A41" zoomScaleNormal="100" workbookViewId="0">
      <selection activeCell="A44" sqref="A44"/>
    </sheetView>
  </sheetViews>
  <sheetFormatPr defaultColWidth="8.5703125" defaultRowHeight="15" x14ac:dyDescent="0.25"/>
  <cols>
    <col min="1" max="1" width="60" customWidth="1"/>
    <col min="2" max="2" width="16.28515625" customWidth="1"/>
    <col min="3" max="3" width="11" customWidth="1"/>
    <col min="5" max="5" width="143.42578125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52</v>
      </c>
      <c r="F1" t="s">
        <v>143</v>
      </c>
    </row>
    <row r="2" spans="1:6" x14ac:dyDescent="0.25">
      <c r="A2" t="s">
        <v>23</v>
      </c>
      <c r="B2">
        <v>1</v>
      </c>
      <c r="C2" s="6">
        <v>19.43</v>
      </c>
      <c r="E2" t="s">
        <v>92</v>
      </c>
    </row>
    <row r="3" spans="1:6" x14ac:dyDescent="0.25">
      <c r="A3" t="s">
        <v>93</v>
      </c>
      <c r="B3">
        <v>1</v>
      </c>
      <c r="C3" s="6">
        <v>4.13</v>
      </c>
      <c r="E3" t="s">
        <v>94</v>
      </c>
    </row>
    <row r="4" spans="1:6" x14ac:dyDescent="0.25">
      <c r="A4" t="s">
        <v>14</v>
      </c>
      <c r="B4">
        <v>1</v>
      </c>
      <c r="C4" s="6">
        <v>38.520000000000003</v>
      </c>
      <c r="E4" t="s">
        <v>96</v>
      </c>
    </row>
    <row r="5" spans="1:6" x14ac:dyDescent="0.25">
      <c r="A5" t="s">
        <v>20</v>
      </c>
      <c r="B5">
        <v>1</v>
      </c>
      <c r="C5" s="6">
        <v>29.15</v>
      </c>
      <c r="E5" t="s">
        <v>95</v>
      </c>
    </row>
    <row r="6" spans="1:6" x14ac:dyDescent="0.25">
      <c r="A6" t="s">
        <v>11</v>
      </c>
      <c r="B6">
        <v>1</v>
      </c>
      <c r="C6" s="6">
        <v>18.43</v>
      </c>
      <c r="E6" t="s">
        <v>97</v>
      </c>
    </row>
    <row r="7" spans="1:6" x14ac:dyDescent="0.25">
      <c r="A7" t="s">
        <v>21</v>
      </c>
      <c r="B7">
        <v>1</v>
      </c>
      <c r="C7" s="6">
        <v>28.84</v>
      </c>
      <c r="E7" t="s">
        <v>98</v>
      </c>
    </row>
    <row r="8" spans="1:6" x14ac:dyDescent="0.25">
      <c r="A8" t="s">
        <v>100</v>
      </c>
      <c r="B8">
        <v>1</v>
      </c>
      <c r="C8" s="6">
        <v>8.0399999999999991</v>
      </c>
      <c r="E8" t="s">
        <v>99</v>
      </c>
    </row>
    <row r="9" spans="1:6" x14ac:dyDescent="0.25">
      <c r="A9" t="s">
        <v>22</v>
      </c>
      <c r="B9">
        <v>1</v>
      </c>
      <c r="C9" s="6">
        <v>0.84</v>
      </c>
      <c r="E9" t="s">
        <v>101</v>
      </c>
    </row>
    <row r="10" spans="1:6" x14ac:dyDescent="0.25">
      <c r="A10" t="s">
        <v>8</v>
      </c>
      <c r="B10">
        <v>1</v>
      </c>
      <c r="C10" s="6">
        <v>8.66</v>
      </c>
      <c r="E10" t="s">
        <v>102</v>
      </c>
    </row>
    <row r="11" spans="1:6" x14ac:dyDescent="0.25">
      <c r="A11" t="s">
        <v>103</v>
      </c>
      <c r="B11">
        <v>1</v>
      </c>
      <c r="C11" s="6">
        <v>0.86</v>
      </c>
      <c r="E11" t="s">
        <v>104</v>
      </c>
    </row>
    <row r="12" spans="1:6" x14ac:dyDescent="0.25">
      <c r="A12" t="s">
        <v>17</v>
      </c>
      <c r="B12">
        <v>1</v>
      </c>
      <c r="C12" s="6">
        <v>25.59</v>
      </c>
      <c r="E12" t="s">
        <v>105</v>
      </c>
    </row>
    <row r="13" spans="1:6" x14ac:dyDescent="0.25">
      <c r="A13" t="s">
        <v>15</v>
      </c>
      <c r="B13">
        <v>1</v>
      </c>
      <c r="C13" s="6">
        <v>38.520000000000003</v>
      </c>
      <c r="E13" t="s">
        <v>106</v>
      </c>
    </row>
    <row r="14" spans="1:6" x14ac:dyDescent="0.25">
      <c r="A14" t="s">
        <v>19</v>
      </c>
      <c r="B14">
        <v>1</v>
      </c>
      <c r="C14" s="6">
        <v>20.53</v>
      </c>
      <c r="E14" t="s">
        <v>107</v>
      </c>
    </row>
    <row r="15" spans="1:6" x14ac:dyDescent="0.25">
      <c r="A15" t="s">
        <v>108</v>
      </c>
      <c r="B15">
        <v>1</v>
      </c>
      <c r="C15" s="6">
        <v>0.86</v>
      </c>
      <c r="E15" t="s">
        <v>109</v>
      </c>
    </row>
    <row r="16" spans="1:6" x14ac:dyDescent="0.25">
      <c r="A16" t="s">
        <v>5</v>
      </c>
      <c r="B16">
        <v>4</v>
      </c>
      <c r="C16" s="6">
        <f>4*13.14</f>
        <v>52.56</v>
      </c>
      <c r="E16" t="s">
        <v>110</v>
      </c>
    </row>
    <row r="17" spans="1:5" x14ac:dyDescent="0.25">
      <c r="A17" t="s">
        <v>10</v>
      </c>
      <c r="B17">
        <v>1</v>
      </c>
      <c r="C17" s="6">
        <v>17.71</v>
      </c>
      <c r="E17" t="s">
        <v>111</v>
      </c>
    </row>
    <row r="18" spans="1:5" x14ac:dyDescent="0.25">
      <c r="A18" t="s">
        <v>6</v>
      </c>
      <c r="B18">
        <v>1</v>
      </c>
      <c r="C18" s="6">
        <v>7.71</v>
      </c>
      <c r="E18" t="s">
        <v>112</v>
      </c>
    </row>
    <row r="19" spans="1:5" x14ac:dyDescent="0.25">
      <c r="A19" t="s">
        <v>26</v>
      </c>
      <c r="B19">
        <v>1</v>
      </c>
      <c r="C19" s="6">
        <v>0.86</v>
      </c>
      <c r="E19" t="s">
        <v>113</v>
      </c>
    </row>
    <row r="20" spans="1:5" x14ac:dyDescent="0.25">
      <c r="A20" t="s">
        <v>114</v>
      </c>
      <c r="B20">
        <v>1</v>
      </c>
      <c r="C20" s="6">
        <v>2.5499999999999998</v>
      </c>
      <c r="E20" t="s">
        <v>115</v>
      </c>
    </row>
    <row r="21" spans="1:5" x14ac:dyDescent="0.25">
      <c r="A21" t="s">
        <v>29</v>
      </c>
      <c r="B21">
        <v>1</v>
      </c>
      <c r="C21" s="6">
        <v>0.86</v>
      </c>
      <c r="E21" t="s">
        <v>116</v>
      </c>
    </row>
    <row r="22" spans="1:5" x14ac:dyDescent="0.25">
      <c r="A22" t="s">
        <v>3</v>
      </c>
      <c r="B22">
        <v>1</v>
      </c>
      <c r="C22" s="6">
        <v>36.18</v>
      </c>
      <c r="E22" t="s">
        <v>117</v>
      </c>
    </row>
    <row r="23" spans="1:5" x14ac:dyDescent="0.25">
      <c r="A23" t="s">
        <v>7</v>
      </c>
      <c r="B23">
        <v>1</v>
      </c>
      <c r="C23" s="6">
        <v>6.89</v>
      </c>
      <c r="E23" t="s">
        <v>118</v>
      </c>
    </row>
    <row r="24" spans="1:5" x14ac:dyDescent="0.25">
      <c r="A24" t="s">
        <v>18</v>
      </c>
      <c r="B24">
        <v>1</v>
      </c>
      <c r="C24" s="6">
        <v>10.41</v>
      </c>
      <c r="E24" t="s">
        <v>119</v>
      </c>
    </row>
    <row r="25" spans="1:5" x14ac:dyDescent="0.25">
      <c r="A25" t="s">
        <v>24</v>
      </c>
      <c r="B25">
        <v>2</v>
      </c>
      <c r="C25" s="6">
        <f>2*0.86</f>
        <v>1.72</v>
      </c>
      <c r="E25" t="s">
        <v>120</v>
      </c>
    </row>
    <row r="26" spans="1:5" x14ac:dyDescent="0.25">
      <c r="A26" t="s">
        <v>4</v>
      </c>
      <c r="B26">
        <v>1</v>
      </c>
      <c r="C26" s="6">
        <v>36.18</v>
      </c>
      <c r="E26" t="s">
        <v>121</v>
      </c>
    </row>
    <row r="27" spans="1:5" x14ac:dyDescent="0.25">
      <c r="A27" s="5" t="s">
        <v>122</v>
      </c>
      <c r="B27">
        <v>1</v>
      </c>
      <c r="C27" s="6">
        <v>11.86</v>
      </c>
      <c r="E27" t="s">
        <v>123</v>
      </c>
    </row>
    <row r="28" spans="1:5" x14ac:dyDescent="0.25">
      <c r="A28" t="s">
        <v>9</v>
      </c>
      <c r="B28">
        <v>2</v>
      </c>
      <c r="C28" s="6">
        <v>8.8800000000000008</v>
      </c>
      <c r="E28" t="s">
        <v>124</v>
      </c>
    </row>
    <row r="29" spans="1:5" x14ac:dyDescent="0.25">
      <c r="A29" t="s">
        <v>30</v>
      </c>
      <c r="B29">
        <v>1</v>
      </c>
      <c r="C29" s="6">
        <v>5.96</v>
      </c>
      <c r="E29" t="s">
        <v>125</v>
      </c>
    </row>
    <row r="30" spans="1:5" x14ac:dyDescent="0.25">
      <c r="A30" t="s">
        <v>16</v>
      </c>
      <c r="B30">
        <v>1</v>
      </c>
      <c r="C30" s="6">
        <v>27.07</v>
      </c>
      <c r="E30" t="s">
        <v>126</v>
      </c>
    </row>
    <row r="31" spans="1:5" x14ac:dyDescent="0.25">
      <c r="A31" t="s">
        <v>12</v>
      </c>
      <c r="B31">
        <v>1</v>
      </c>
      <c r="C31" s="6">
        <v>44.98</v>
      </c>
      <c r="E31" t="s">
        <v>127</v>
      </c>
    </row>
    <row r="32" spans="1:5" x14ac:dyDescent="0.25">
      <c r="A32" t="s">
        <v>128</v>
      </c>
      <c r="B32">
        <v>1</v>
      </c>
      <c r="C32" s="6">
        <v>0.86</v>
      </c>
      <c r="E32" t="s">
        <v>129</v>
      </c>
    </row>
    <row r="33" spans="1:6" x14ac:dyDescent="0.25">
      <c r="A33" t="s">
        <v>130</v>
      </c>
      <c r="B33">
        <v>2</v>
      </c>
      <c r="C33" s="6">
        <v>8.66</v>
      </c>
      <c r="E33" t="s">
        <v>131</v>
      </c>
    </row>
    <row r="34" spans="1:6" x14ac:dyDescent="0.25">
      <c r="A34" t="s">
        <v>13</v>
      </c>
      <c r="B34">
        <v>1</v>
      </c>
      <c r="C34" s="6">
        <v>48.86</v>
      </c>
      <c r="E34" t="s">
        <v>132</v>
      </c>
    </row>
    <row r="35" spans="1:6" x14ac:dyDescent="0.25">
      <c r="A35" t="s">
        <v>133</v>
      </c>
      <c r="B35">
        <v>1</v>
      </c>
      <c r="C35" s="6">
        <v>0.86</v>
      </c>
      <c r="E35" t="s">
        <v>134</v>
      </c>
    </row>
    <row r="36" spans="1:6" x14ac:dyDescent="0.25">
      <c r="A36" t="s">
        <v>25</v>
      </c>
      <c r="B36">
        <v>1</v>
      </c>
      <c r="C36" s="6">
        <v>0.86</v>
      </c>
      <c r="E36" t="s">
        <v>135</v>
      </c>
    </row>
    <row r="37" spans="1:6" x14ac:dyDescent="0.25">
      <c r="A37" t="s">
        <v>136</v>
      </c>
      <c r="B37">
        <v>1</v>
      </c>
      <c r="C37" s="6">
        <v>8.8800000000000008</v>
      </c>
      <c r="E37" t="s">
        <v>137</v>
      </c>
    </row>
    <row r="38" spans="1:6" x14ac:dyDescent="0.25">
      <c r="A38" t="s">
        <v>31</v>
      </c>
      <c r="B38">
        <v>2</v>
      </c>
      <c r="C38" s="6">
        <f>2*1.52</f>
        <v>3.04</v>
      </c>
      <c r="E38" t="s">
        <v>138</v>
      </c>
    </row>
    <row r="39" spans="1:6" x14ac:dyDescent="0.25">
      <c r="A39" t="s">
        <v>28</v>
      </c>
      <c r="B39">
        <v>1</v>
      </c>
      <c r="C39" s="6">
        <v>0.86</v>
      </c>
      <c r="E39" t="s">
        <v>139</v>
      </c>
    </row>
    <row r="40" spans="1:6" x14ac:dyDescent="0.25">
      <c r="A40" t="s">
        <v>27</v>
      </c>
      <c r="B40">
        <v>1</v>
      </c>
      <c r="C40" s="6">
        <v>0.86</v>
      </c>
      <c r="E40" t="s">
        <v>140</v>
      </c>
    </row>
    <row r="41" spans="1:6" x14ac:dyDescent="0.25">
      <c r="A41" t="s">
        <v>141</v>
      </c>
      <c r="C41" s="6">
        <v>300</v>
      </c>
    </row>
    <row r="42" spans="1:6" x14ac:dyDescent="0.25">
      <c r="A42" t="s">
        <v>32</v>
      </c>
      <c r="B42">
        <v>1</v>
      </c>
      <c r="C42" s="1">
        <v>33.93</v>
      </c>
      <c r="E42" t="s">
        <v>33</v>
      </c>
    </row>
    <row r="43" spans="1:6" x14ac:dyDescent="0.25">
      <c r="A43" t="s">
        <v>34</v>
      </c>
      <c r="B43">
        <v>1</v>
      </c>
      <c r="C43" s="1">
        <v>38.619999999999997</v>
      </c>
      <c r="E43" t="s">
        <v>35</v>
      </c>
    </row>
    <row r="44" spans="1:6" x14ac:dyDescent="0.25">
      <c r="A44" t="s">
        <v>36</v>
      </c>
      <c r="B44">
        <v>4</v>
      </c>
      <c r="C44" s="1">
        <f>6.84*B44</f>
        <v>27.36</v>
      </c>
      <c r="E44" t="s">
        <v>144</v>
      </c>
    </row>
    <row r="45" spans="1:6" x14ac:dyDescent="0.25">
      <c r="A45" t="s">
        <v>37</v>
      </c>
      <c r="B45">
        <v>1</v>
      </c>
      <c r="C45" s="1">
        <v>27.25</v>
      </c>
      <c r="E45" t="s">
        <v>38</v>
      </c>
    </row>
    <row r="46" spans="1:6" x14ac:dyDescent="0.25">
      <c r="A46" t="s">
        <v>39</v>
      </c>
      <c r="B46">
        <v>4</v>
      </c>
      <c r="C46" s="1">
        <f>81.27*B46</f>
        <v>325.08</v>
      </c>
      <c r="E46" t="s">
        <v>40</v>
      </c>
    </row>
    <row r="47" spans="1:6" x14ac:dyDescent="0.25">
      <c r="A47" t="s">
        <v>41</v>
      </c>
      <c r="B47">
        <v>1</v>
      </c>
      <c r="C47" s="1">
        <v>387.69</v>
      </c>
      <c r="E47" s="4" t="s">
        <v>42</v>
      </c>
      <c r="F47" t="s">
        <v>142</v>
      </c>
    </row>
    <row r="48" spans="1:6" x14ac:dyDescent="0.25">
      <c r="A48" t="s">
        <v>43</v>
      </c>
      <c r="B48">
        <v>1</v>
      </c>
      <c r="C48" s="1">
        <v>104.92</v>
      </c>
      <c r="E48" t="s">
        <v>90</v>
      </c>
    </row>
    <row r="49" spans="1:5" x14ac:dyDescent="0.25">
      <c r="A49" t="s">
        <v>44</v>
      </c>
      <c r="B49">
        <v>4</v>
      </c>
      <c r="C49" s="1">
        <v>334.91</v>
      </c>
      <c r="E49" t="s">
        <v>91</v>
      </c>
    </row>
    <row r="50" spans="1:5" x14ac:dyDescent="0.25">
      <c r="A50" t="s">
        <v>45</v>
      </c>
      <c r="B50">
        <v>1</v>
      </c>
      <c r="C50" s="1">
        <v>78.260000000000005</v>
      </c>
      <c r="E50" t="s">
        <v>87</v>
      </c>
    </row>
    <row r="51" spans="1:5" x14ac:dyDescent="0.25">
      <c r="A51" t="s">
        <v>46</v>
      </c>
      <c r="B51">
        <v>1</v>
      </c>
      <c r="C51" s="1">
        <v>76.11</v>
      </c>
      <c r="E51" t="s">
        <v>88</v>
      </c>
    </row>
    <row r="52" spans="1:5" x14ac:dyDescent="0.25">
      <c r="A52" t="s">
        <v>47</v>
      </c>
      <c r="B52">
        <v>1</v>
      </c>
      <c r="C52" s="6">
        <v>109.71</v>
      </c>
      <c r="E52" t="s">
        <v>89</v>
      </c>
    </row>
    <row r="53" spans="1:5" x14ac:dyDescent="0.25">
      <c r="A53" s="2" t="s">
        <v>48</v>
      </c>
      <c r="B53">
        <v>99</v>
      </c>
      <c r="C53" s="6">
        <f>8.74*B53</f>
        <v>865.26</v>
      </c>
      <c r="E53" s="4" t="s">
        <v>49</v>
      </c>
    </row>
    <row r="54" spans="1:5" x14ac:dyDescent="0.25">
      <c r="A54" t="s">
        <v>50</v>
      </c>
      <c r="B54">
        <v>1</v>
      </c>
      <c r="C54" s="1">
        <v>36.47</v>
      </c>
      <c r="E54" t="s">
        <v>51</v>
      </c>
    </row>
    <row r="55" spans="1:5" x14ac:dyDescent="0.25">
      <c r="A55" t="s">
        <v>53</v>
      </c>
      <c r="B55">
        <v>20</v>
      </c>
      <c r="C55" s="1">
        <v>6.07</v>
      </c>
      <c r="E55" t="s">
        <v>54</v>
      </c>
    </row>
    <row r="56" spans="1:5" x14ac:dyDescent="0.25">
      <c r="A56" t="s">
        <v>55</v>
      </c>
      <c r="B56">
        <v>22</v>
      </c>
      <c r="C56" s="1">
        <v>6.66</v>
      </c>
      <c r="E56" t="s">
        <v>54</v>
      </c>
    </row>
    <row r="57" spans="1:5" x14ac:dyDescent="0.25">
      <c r="A57" t="s">
        <v>56</v>
      </c>
      <c r="B57">
        <v>350</v>
      </c>
      <c r="C57" s="1">
        <v>9.08</v>
      </c>
      <c r="E57" s="4" t="s">
        <v>75</v>
      </c>
    </row>
    <row r="58" spans="1:5" x14ac:dyDescent="0.25">
      <c r="A58" t="s">
        <v>57</v>
      </c>
      <c r="B58">
        <v>6</v>
      </c>
      <c r="C58" s="1">
        <v>8.6300000000000008</v>
      </c>
      <c r="E58" t="s">
        <v>54</v>
      </c>
    </row>
    <row r="59" spans="1:5" x14ac:dyDescent="0.25">
      <c r="A59" t="s">
        <v>58</v>
      </c>
      <c r="B59">
        <v>4</v>
      </c>
      <c r="C59" s="1">
        <v>10.99</v>
      </c>
      <c r="E59" t="s">
        <v>59</v>
      </c>
    </row>
    <row r="60" spans="1:5" x14ac:dyDescent="0.25">
      <c r="A60" t="s">
        <v>60</v>
      </c>
      <c r="B60">
        <v>8</v>
      </c>
      <c r="C60" s="1">
        <v>7.99</v>
      </c>
      <c r="E60" t="s">
        <v>61</v>
      </c>
    </row>
    <row r="61" spans="1:5" x14ac:dyDescent="0.25">
      <c r="A61" t="s">
        <v>62</v>
      </c>
      <c r="B61">
        <v>2</v>
      </c>
      <c r="C61" s="1">
        <f>1.05*B61</f>
        <v>2.1</v>
      </c>
      <c r="E61" t="s">
        <v>63</v>
      </c>
    </row>
    <row r="62" spans="1:5" x14ac:dyDescent="0.25">
      <c r="A62" t="s">
        <v>64</v>
      </c>
      <c r="B62">
        <v>12</v>
      </c>
      <c r="C62" s="1">
        <v>11.31</v>
      </c>
      <c r="E62" t="s">
        <v>65</v>
      </c>
    </row>
    <row r="63" spans="1:5" x14ac:dyDescent="0.25">
      <c r="A63" t="s">
        <v>67</v>
      </c>
      <c r="B63">
        <v>15</v>
      </c>
      <c r="C63" s="1">
        <v>8.59</v>
      </c>
      <c r="E63" t="s">
        <v>66</v>
      </c>
    </row>
    <row r="64" spans="1:5" x14ac:dyDescent="0.25">
      <c r="A64" t="s">
        <v>68</v>
      </c>
      <c r="B64">
        <v>17</v>
      </c>
      <c r="C64" s="1">
        <v>3.78</v>
      </c>
      <c r="E64" t="s">
        <v>69</v>
      </c>
    </row>
    <row r="65" spans="1:5" x14ac:dyDescent="0.25">
      <c r="A65" t="s">
        <v>70</v>
      </c>
      <c r="B65">
        <v>10</v>
      </c>
      <c r="C65" s="1">
        <v>7.84</v>
      </c>
      <c r="E65" t="s">
        <v>69</v>
      </c>
    </row>
    <row r="66" spans="1:5" x14ac:dyDescent="0.25">
      <c r="A66" t="s">
        <v>71</v>
      </c>
      <c r="B66">
        <v>4</v>
      </c>
      <c r="C66" s="1">
        <v>9.8800000000000008</v>
      </c>
      <c r="E66" t="s">
        <v>65</v>
      </c>
    </row>
    <row r="67" spans="1:5" x14ac:dyDescent="0.25">
      <c r="A67" t="s">
        <v>72</v>
      </c>
      <c r="B67">
        <v>8</v>
      </c>
      <c r="C67" s="1">
        <v>5.33</v>
      </c>
      <c r="E67" t="s">
        <v>69</v>
      </c>
    </row>
    <row r="68" spans="1:5" x14ac:dyDescent="0.25">
      <c r="A68" t="s">
        <v>73</v>
      </c>
      <c r="B68">
        <v>6</v>
      </c>
      <c r="C68" s="1">
        <v>7</v>
      </c>
      <c r="E68" t="s">
        <v>74</v>
      </c>
    </row>
    <row r="69" spans="1:5" x14ac:dyDescent="0.25">
      <c r="A69" t="s">
        <v>84</v>
      </c>
      <c r="B69">
        <v>1</v>
      </c>
      <c r="C69" s="1">
        <v>32.64</v>
      </c>
      <c r="E69" t="s">
        <v>85</v>
      </c>
    </row>
    <row r="70" spans="1:5" x14ac:dyDescent="0.25">
      <c r="A70" t="s">
        <v>76</v>
      </c>
      <c r="B70">
        <v>2</v>
      </c>
      <c r="C70" s="1">
        <v>17.32</v>
      </c>
      <c r="E70" t="s">
        <v>77</v>
      </c>
    </row>
    <row r="71" spans="1:5" x14ac:dyDescent="0.25">
      <c r="A71" t="s">
        <v>79</v>
      </c>
      <c r="B71">
        <v>1</v>
      </c>
      <c r="C71" s="1">
        <v>1.19</v>
      </c>
      <c r="E71" t="s">
        <v>78</v>
      </c>
    </row>
    <row r="72" spans="1:5" x14ac:dyDescent="0.25">
      <c r="A72" t="s">
        <v>81</v>
      </c>
      <c r="B72">
        <v>99</v>
      </c>
      <c r="C72" s="1">
        <v>0.1</v>
      </c>
      <c r="E72" t="s">
        <v>80</v>
      </c>
    </row>
    <row r="73" spans="1:5" x14ac:dyDescent="0.25">
      <c r="A73" t="s">
        <v>83</v>
      </c>
      <c r="B73">
        <v>99</v>
      </c>
      <c r="C73" s="1">
        <v>0.05</v>
      </c>
      <c r="E73" t="s">
        <v>82</v>
      </c>
    </row>
    <row r="74" spans="1:5" x14ac:dyDescent="0.25">
      <c r="A74" t="s">
        <v>86</v>
      </c>
      <c r="B74">
        <v>1</v>
      </c>
      <c r="C74" s="1">
        <v>20</v>
      </c>
    </row>
    <row r="79" spans="1:5" x14ac:dyDescent="0.25">
      <c r="C79" s="3">
        <f>SUM(C2:C78)</f>
        <v>3510.6400000000008</v>
      </c>
    </row>
  </sheetData>
  <hyperlinks>
    <hyperlink ref="E57" r:id="rId1" xr:uid="{FFA81BDA-DD74-4D64-A280-914C50CBA945}"/>
    <hyperlink ref="E53" r:id="rId2" xr:uid="{D802E364-6A6E-4536-B3D3-A5BC67583CD7}"/>
    <hyperlink ref="E47" r:id="rId3" xr:uid="{2BAA2678-47EC-412D-A04B-CC518D24A6AE}"/>
  </hyperlinks>
  <pageMargins left="0.7" right="0.7" top="0.75" bottom="0.75" header="0.51180555555555496" footer="0.51180555555555496"/>
  <pageSetup firstPageNumber="0"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Trendel</dc:creator>
  <dc:description/>
  <cp:lastModifiedBy>Simon Trendel</cp:lastModifiedBy>
  <cp:revision>2</cp:revision>
  <dcterms:created xsi:type="dcterms:W3CDTF">2025-08-25T11:01:26Z</dcterms:created>
  <dcterms:modified xsi:type="dcterms:W3CDTF">2026-01-16T08:12:50Z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